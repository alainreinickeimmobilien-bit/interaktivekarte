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anawestphal/Tresors/Jana's tresor/AaMASSA/Bilder_Häuser/"/>
    </mc:Choice>
  </mc:AlternateContent>
  <xr:revisionPtr revIDLastSave="0" documentId="13_ncr:1_{919A82CC-30EF-594C-9E4F-757EBD2472BD}" xr6:coauthVersionLast="47" xr6:coauthVersionMax="47" xr10:uidLastSave="{00000000-0000-0000-0000-000000000000}"/>
  <bookViews>
    <workbookView xWindow="760" yWindow="500" windowWidth="28040" windowHeight="16260" xr2:uid="{397F2141-E15F-994C-9714-62896E4A0D84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T3" i="1" s="1"/>
  <c r="T21" i="1"/>
  <c r="R16" i="1"/>
  <c r="S16" i="1"/>
  <c r="T16" i="1"/>
  <c r="J36" i="1"/>
  <c r="T36" i="1" s="1"/>
  <c r="J37" i="1"/>
  <c r="J38" i="1"/>
  <c r="R38" i="1" s="1"/>
  <c r="R39" i="1"/>
  <c r="R40" i="1"/>
  <c r="S38" i="1"/>
  <c r="S37" i="1"/>
  <c r="R37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7" i="1"/>
  <c r="T38" i="1"/>
  <c r="T39" i="1"/>
  <c r="T40" i="1"/>
  <c r="T41" i="1"/>
  <c r="T42" i="1"/>
  <c r="T43" i="1"/>
  <c r="T44" i="1"/>
  <c r="T45" i="1"/>
  <c r="T46" i="1"/>
  <c r="T47" i="1"/>
  <c r="T48" i="1"/>
  <c r="T15" i="1"/>
  <c r="T17" i="1"/>
  <c r="T18" i="1"/>
  <c r="T19" i="1"/>
  <c r="T20" i="1"/>
  <c r="T4" i="1"/>
  <c r="T5" i="1"/>
  <c r="T6" i="1"/>
  <c r="T7" i="1"/>
  <c r="T8" i="1"/>
  <c r="T9" i="1"/>
  <c r="T10" i="1"/>
  <c r="T11" i="1"/>
  <c r="T12" i="1"/>
  <c r="T13" i="1"/>
  <c r="T14" i="1"/>
  <c r="S3" i="1"/>
  <c r="R36" i="1"/>
  <c r="S36" i="1"/>
  <c r="R27" i="1"/>
  <c r="J27" i="1"/>
  <c r="S27" i="1"/>
  <c r="J31" i="1"/>
  <c r="S31" i="1"/>
  <c r="R31" i="1"/>
  <c r="J4" i="1"/>
  <c r="J34" i="1"/>
  <c r="R34" i="1" s="1"/>
  <c r="S34" i="1"/>
  <c r="S33" i="1"/>
  <c r="J33" i="1"/>
  <c r="R33" i="1" s="1"/>
  <c r="J35" i="1"/>
  <c r="R35" i="1" s="1"/>
  <c r="S35" i="1"/>
  <c r="J32" i="1"/>
  <c r="R32" i="1" s="1"/>
  <c r="S32" i="1"/>
  <c r="S22" i="1"/>
  <c r="S23" i="1"/>
  <c r="S24" i="1"/>
  <c r="S25" i="1"/>
  <c r="S26" i="1"/>
  <c r="S28" i="1"/>
  <c r="S29" i="1"/>
  <c r="S30" i="1"/>
  <c r="S4" i="1"/>
  <c r="S5" i="1"/>
  <c r="S6" i="1"/>
  <c r="S7" i="1"/>
  <c r="S8" i="1"/>
  <c r="S9" i="1"/>
  <c r="S10" i="1"/>
  <c r="S11" i="1"/>
  <c r="S12" i="1"/>
  <c r="S13" i="1"/>
  <c r="S14" i="1"/>
  <c r="S15" i="1"/>
  <c r="S17" i="1"/>
  <c r="S18" i="1"/>
  <c r="S19" i="1"/>
  <c r="S20" i="1"/>
  <c r="S21" i="1"/>
  <c r="J30" i="1"/>
  <c r="R30" i="1" s="1"/>
  <c r="J5" i="1"/>
  <c r="J6" i="1"/>
  <c r="R6" i="1" s="1"/>
  <c r="J7" i="1"/>
  <c r="R7" i="1" s="1"/>
  <c r="J9" i="1"/>
  <c r="J10" i="1"/>
  <c r="R10" i="1" s="1"/>
  <c r="J11" i="1"/>
  <c r="R11" i="1" s="1"/>
  <c r="J12" i="1"/>
  <c r="J13" i="1"/>
  <c r="R13" i="1" s="1"/>
  <c r="J14" i="1"/>
  <c r="R14" i="1" s="1"/>
  <c r="J15" i="1"/>
  <c r="R15" i="1" s="1"/>
  <c r="J17" i="1"/>
  <c r="R17" i="1" s="1"/>
  <c r="J18" i="1"/>
  <c r="R18" i="1" s="1"/>
  <c r="J19" i="1"/>
  <c r="R19" i="1" s="1"/>
  <c r="J20" i="1"/>
  <c r="J21" i="1"/>
  <c r="J22" i="1"/>
  <c r="R22" i="1" s="1"/>
  <c r="J23" i="1"/>
  <c r="R23" i="1" s="1"/>
  <c r="J24" i="1"/>
  <c r="R24" i="1" s="1"/>
  <c r="J25" i="1"/>
  <c r="R25" i="1" s="1"/>
  <c r="J26" i="1"/>
  <c r="R26" i="1" s="1"/>
  <c r="J28" i="1"/>
  <c r="R28" i="1" s="1"/>
  <c r="J29" i="1"/>
  <c r="R3" i="1" l="1"/>
  <c r="R12" i="1"/>
  <c r="R5" i="1"/>
  <c r="R29" i="1"/>
  <c r="R21" i="1"/>
  <c r="R20" i="1"/>
  <c r="R9" i="1"/>
  <c r="R8" i="1"/>
  <c r="R4" i="1"/>
</calcChain>
</file>

<file path=xl/sharedStrings.xml><?xml version="1.0" encoding="utf-8"?>
<sst xmlns="http://schemas.openxmlformats.org/spreadsheetml/2006/main" count="134" uniqueCount="85">
  <si>
    <t>Objektnummer</t>
  </si>
  <si>
    <t>Grundstück</t>
  </si>
  <si>
    <t>Wohnfläche</t>
  </si>
  <si>
    <t>Anzahl Zimmer</t>
  </si>
  <si>
    <t>Ausstattung</t>
  </si>
  <si>
    <t>PV Anlage</t>
  </si>
  <si>
    <t>elektr. Rollläden</t>
  </si>
  <si>
    <t>Größe</t>
  </si>
  <si>
    <t>Preis</t>
  </si>
  <si>
    <t>LS 14.01 S</t>
  </si>
  <si>
    <t>LS 16.03 S</t>
  </si>
  <si>
    <t>Freistraße 8</t>
  </si>
  <si>
    <t>04435 Schkeuditz</t>
  </si>
  <si>
    <t>Am Häuserteich 9</t>
  </si>
  <si>
    <t>04599 Wiedemar</t>
  </si>
  <si>
    <t>Südstraße 1</t>
  </si>
  <si>
    <t>04838 Jesewitz</t>
  </si>
  <si>
    <t>Haus</t>
  </si>
  <si>
    <t>Typ</t>
  </si>
  <si>
    <t>Technikpaket</t>
  </si>
  <si>
    <t>Kniestock</t>
  </si>
  <si>
    <t>04509 Schönwölkau</t>
  </si>
  <si>
    <t>Scholitzer Platz 15</t>
  </si>
  <si>
    <t>04838 Eilenburg</t>
  </si>
  <si>
    <t>Gelbchenweg 15</t>
  </si>
  <si>
    <t>04849 Bad Düben</t>
  </si>
  <si>
    <t>Siedlungsallee 2</t>
  </si>
  <si>
    <t>Söllichauer Straße 10</t>
  </si>
  <si>
    <t>04849 Laußig</t>
  </si>
  <si>
    <t>Paschwitzer Landstraße 25</t>
  </si>
  <si>
    <t>04838 Doberschütz</t>
  </si>
  <si>
    <t>FS 20.04 S</t>
  </si>
  <si>
    <t>FS 21.02 S</t>
  </si>
  <si>
    <t>LS 13.11 P</t>
  </si>
  <si>
    <t>LS 9.01 S</t>
  </si>
  <si>
    <t>LS 12.01 S</t>
  </si>
  <si>
    <t>LS 13.07 S</t>
  </si>
  <si>
    <t>LS 13.08 W</t>
  </si>
  <si>
    <t>LS 13.02 W</t>
  </si>
  <si>
    <t>LS 14.04 S</t>
  </si>
  <si>
    <t>LS 16.01 S</t>
  </si>
  <si>
    <t>LS 16.05 P</t>
  </si>
  <si>
    <t>LS 15.01 S</t>
  </si>
  <si>
    <t>LS 18.01 S</t>
  </si>
  <si>
    <t>LS 18.07 S</t>
  </si>
  <si>
    <t>CS 11.02 S</t>
  </si>
  <si>
    <t>CS 10.02 W</t>
  </si>
  <si>
    <t>LS 14.04 W</t>
  </si>
  <si>
    <t>LS 16.01 W</t>
  </si>
  <si>
    <t>Preis Rollladen</t>
  </si>
  <si>
    <t>Anzahl</t>
  </si>
  <si>
    <t>Immowelt</t>
  </si>
  <si>
    <t>Immoscout</t>
  </si>
  <si>
    <t>Sttraße</t>
  </si>
  <si>
    <t>PLZ/ Ort</t>
  </si>
  <si>
    <t>Ausbau</t>
  </si>
  <si>
    <t>BNK</t>
  </si>
  <si>
    <t>Gesamtpreis</t>
  </si>
  <si>
    <t>nur Ausbauhaus</t>
  </si>
  <si>
    <t>LS 19.04 F</t>
  </si>
  <si>
    <t>LS 17.02 W</t>
  </si>
  <si>
    <t>CS 8.01 S</t>
  </si>
  <si>
    <t>Grüner Winkel 11</t>
  </si>
  <si>
    <t>04463 Kleinliebenau</t>
  </si>
  <si>
    <t>04509 Wiedemar</t>
  </si>
  <si>
    <t>Haus mit TP</t>
  </si>
  <si>
    <t>Paschwitzer Landstraße 26</t>
  </si>
  <si>
    <t>4839 Doberschütz</t>
  </si>
  <si>
    <t>CS 8.01 W</t>
  </si>
  <si>
    <t>Söllichauer Straße 11</t>
  </si>
  <si>
    <t>4850 Laußig</t>
  </si>
  <si>
    <t>Freiroda</t>
  </si>
  <si>
    <t>Hansenweg 12</t>
  </si>
  <si>
    <t>Seehausener Allee 23a</t>
  </si>
  <si>
    <t>Seehausen</t>
  </si>
  <si>
    <t>LS 21.02 S</t>
  </si>
  <si>
    <t>Grüner Winkel 5</t>
  </si>
  <si>
    <t>04435 Kleinliebenau</t>
  </si>
  <si>
    <t>04420 Markranstädt</t>
  </si>
  <si>
    <t>Siedlungsweg 8</t>
  </si>
  <si>
    <t>06686 Lützen</t>
  </si>
  <si>
    <t>Eichenstraße 13</t>
  </si>
  <si>
    <t>06618 Naumburg</t>
  </si>
  <si>
    <t>Zöbigker Weg 21</t>
  </si>
  <si>
    <t>04442 Zwenkau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</si>
</sst>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€&quot;_-;\-* #,##0.00\ &quot;€&quot;_-;_-* &quot;-&quot;??\ &quot;€&quot;_-;_-@_-"/>
  </numFmts>
  <fonts count="5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 tint="-0.499984740745262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5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44" fontId="0" fillId="0" borderId="0" xfId="1" applyFont="1" applyAlignment="1">
      <alignment horizontal="center" vertical="center"/>
    </xf>
    <xf numFmtId="44" fontId="0" fillId="0" borderId="0" xfId="1" applyFont="1" applyAlignment="1">
      <alignment horizontal="center" vertical="center" wrapText="1"/>
    </xf>
    <xf numFmtId="44" fontId="1" fillId="0" borderId="0" xfId="1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/>
    <xf numFmtId="44" fontId="0" fillId="2" borderId="0" xfId="1" applyFont="1" applyFill="1" applyAlignment="1">
      <alignment horizontal="center" vertical="center"/>
    </xf>
    <xf numFmtId="44" fontId="3" fillId="0" borderId="0" xfId="1" applyFont="1" applyAlignment="1">
      <alignment horizontal="center" vertical="center"/>
    </xf>
    <xf numFmtId="0" fontId="3" fillId="0" borderId="0" xfId="1" applyNumberFormat="1" applyFont="1" applyAlignment="1">
      <alignment horizontal="center" vertical="center"/>
    </xf>
    <xf numFmtId="0" fontId="3" fillId="2" borderId="0" xfId="1" applyNumberFormat="1" applyFont="1" applyFill="1" applyAlignment="1">
      <alignment horizontal="center" vertical="center"/>
    </xf>
    <xf numFmtId="44" fontId="2" fillId="0" borderId="0" xfId="1" applyFont="1" applyAlignment="1">
      <alignment horizontal="center" vertical="center"/>
    </xf>
    <xf numFmtId="44" fontId="2" fillId="2" borderId="0" xfId="1" applyFont="1" applyFill="1" applyAlignment="1">
      <alignment horizontal="center" vertical="center"/>
    </xf>
    <xf numFmtId="0" fontId="0" fillId="2" borderId="0" xfId="0" applyFill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44" fontId="0" fillId="2" borderId="0" xfId="0" applyNumberFormat="1" applyFill="1"/>
    <xf numFmtId="17" fontId="0" fillId="0" borderId="0" xfId="0" applyNumberFormat="1"/>
    <xf numFmtId="14" fontId="0" fillId="0" borderId="0" xfId="0" applyNumberFormat="1"/>
    <xf numFmtId="0" fontId="0" fillId="0" borderId="0" xfId="1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44" fontId="0" fillId="0" borderId="0" xfId="1" applyFont="1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2">
    <cellStyle name="Standard" xfId="0" builtinId="0"/>
    <cellStyle name="Währung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3CF9D-9847-6443-9716-CEB9BB749ED6}">
  <sheetPr>
    <pageSetUpPr fitToPage="1"/>
  </sheetPr>
  <dimension ref="A1:V48"/>
  <sheetViews>
    <sheetView tabSelected="1" topLeftCell="G1" zoomScale="125" zoomScaleNormal="125" workbookViewId="0">
      <pane ySplit="1" topLeftCell="A5" activePane="bottomLeft" state="frozen"/>
      <selection activeCell="K1" sqref="K1"/>
      <selection pane="bottomLeft" activeCell="T23" sqref="T23"/>
    </sheetView>
  </sheetViews>
  <sheetFormatPr baseColWidth="10" defaultRowHeight="16" x14ac:dyDescent="0.2"/>
  <cols>
    <col min="2" max="2" width="13.6640625" style="2" customWidth="1"/>
    <col min="3" max="3" width="23.6640625" style="2" customWidth="1"/>
    <col min="4" max="4" width="16.33203125" style="2" customWidth="1"/>
    <col min="5" max="5" width="10.83203125" style="2"/>
    <col min="6" max="6" width="13" style="4" bestFit="1" customWidth="1"/>
    <col min="7" max="8" width="14.1640625" style="2" customWidth="1"/>
    <col min="9" max="9" width="13" style="4" customWidth="1"/>
    <col min="10" max="10" width="16" style="4" customWidth="1"/>
    <col min="11" max="12" width="13" style="4" customWidth="1"/>
    <col min="13" max="13" width="6.83203125" style="12" customWidth="1"/>
    <col min="14" max="15" width="10.83203125" style="2"/>
    <col min="16" max="16" width="13" style="4" bestFit="1" customWidth="1"/>
    <col min="17" max="17" width="12" style="4" bestFit="1" customWidth="1"/>
    <col min="18" max="18" width="13" style="14" bestFit="1" customWidth="1"/>
    <col min="19" max="19" width="13" bestFit="1" customWidth="1"/>
    <col min="20" max="20" width="13" customWidth="1"/>
  </cols>
  <sheetData>
    <row r="1" spans="1:22" s="2" customFormat="1" ht="34" x14ac:dyDescent="0.2">
      <c r="A1" s="22" t="s">
        <v>0</v>
      </c>
      <c r="B1" s="22"/>
      <c r="C1" s="22" t="s">
        <v>1</v>
      </c>
      <c r="D1" s="22"/>
      <c r="E1" s="24" t="s">
        <v>1</v>
      </c>
      <c r="F1" s="24"/>
      <c r="G1" s="22" t="s">
        <v>17</v>
      </c>
      <c r="H1" s="22"/>
      <c r="I1" s="23" t="s">
        <v>4</v>
      </c>
      <c r="J1" s="23"/>
      <c r="K1" s="23"/>
      <c r="L1" s="23"/>
      <c r="M1" s="11"/>
      <c r="N1" s="2" t="s">
        <v>2</v>
      </c>
      <c r="O1" s="1" t="s">
        <v>3</v>
      </c>
      <c r="P1" s="5" t="s">
        <v>55</v>
      </c>
      <c r="Q1" s="5" t="s">
        <v>56</v>
      </c>
      <c r="R1" s="15" t="s">
        <v>57</v>
      </c>
      <c r="S1" s="16" t="s">
        <v>58</v>
      </c>
      <c r="T1" s="16" t="s">
        <v>65</v>
      </c>
      <c r="U1" s="7" t="s">
        <v>49</v>
      </c>
      <c r="V1" s="8" t="s">
        <v>50</v>
      </c>
    </row>
    <row r="2" spans="1:22" s="2" customFormat="1" ht="17" x14ac:dyDescent="0.2">
      <c r="A2" s="2" t="s">
        <v>52</v>
      </c>
      <c r="B2" s="2" t="s">
        <v>51</v>
      </c>
      <c r="C2" s="2" t="s">
        <v>53</v>
      </c>
      <c r="D2" s="2" t="s">
        <v>54</v>
      </c>
      <c r="E2" s="1" t="s">
        <v>7</v>
      </c>
      <c r="F2" s="5" t="s">
        <v>8</v>
      </c>
      <c r="G2" s="2" t="s">
        <v>18</v>
      </c>
      <c r="H2" s="2" t="s">
        <v>8</v>
      </c>
      <c r="I2" s="4" t="s">
        <v>19</v>
      </c>
      <c r="J2" s="4" t="s">
        <v>6</v>
      </c>
      <c r="K2" s="4" t="s">
        <v>5</v>
      </c>
      <c r="L2" s="21" t="s">
        <v>20</v>
      </c>
      <c r="M2" s="21"/>
      <c r="O2" s="1"/>
      <c r="P2" s="5"/>
      <c r="Q2" s="5"/>
      <c r="R2" s="15"/>
      <c r="S2" s="17"/>
      <c r="T2" s="17"/>
      <c r="U2" s="8"/>
      <c r="V2" s="8"/>
    </row>
    <row r="3" spans="1:22" x14ac:dyDescent="0.2">
      <c r="B3" s="2">
        <v>160</v>
      </c>
      <c r="C3" s="2" t="s">
        <v>72</v>
      </c>
      <c r="D3" s="2" t="s">
        <v>30</v>
      </c>
      <c r="E3" s="2">
        <v>528</v>
      </c>
      <c r="F3" s="4">
        <v>100000</v>
      </c>
      <c r="G3" s="3" t="s">
        <v>10</v>
      </c>
      <c r="H3" s="4">
        <v>146000</v>
      </c>
      <c r="I3" s="4">
        <v>140000</v>
      </c>
      <c r="J3" s="4">
        <f t="shared" ref="J3:J29" si="0">U3*V3</f>
        <v>2400</v>
      </c>
      <c r="L3" s="4">
        <v>4500</v>
      </c>
      <c r="M3" s="12">
        <v>180</v>
      </c>
      <c r="N3" s="2">
        <v>160</v>
      </c>
      <c r="O3" s="2">
        <v>5</v>
      </c>
      <c r="P3" s="4">
        <v>84000</v>
      </c>
      <c r="Q3" s="4">
        <v>37000</v>
      </c>
      <c r="R3" s="15">
        <f>SUM(F3+H3+I3+J3+K3+L3+P3+Q3)</f>
        <v>513900</v>
      </c>
      <c r="S3" s="18">
        <f>F3+H3+L3</f>
        <v>250500</v>
      </c>
      <c r="T3" s="18">
        <f>F3+H3+I3+J3+L3</f>
        <v>392900</v>
      </c>
      <c r="U3" s="8">
        <v>200</v>
      </c>
      <c r="V3" s="9">
        <v>12</v>
      </c>
    </row>
    <row r="4" spans="1:22" x14ac:dyDescent="0.2">
      <c r="B4" s="2">
        <v>10</v>
      </c>
      <c r="C4" s="2" t="s">
        <v>11</v>
      </c>
      <c r="D4" s="2" t="s">
        <v>12</v>
      </c>
      <c r="E4" s="2">
        <v>535</v>
      </c>
      <c r="F4" s="4">
        <v>100000</v>
      </c>
      <c r="G4" s="2" t="s">
        <v>9</v>
      </c>
      <c r="H4" s="4">
        <v>130000</v>
      </c>
      <c r="I4" s="4">
        <v>129000</v>
      </c>
      <c r="J4" s="4">
        <f t="shared" si="0"/>
        <v>2640</v>
      </c>
      <c r="K4" s="4">
        <v>27560</v>
      </c>
      <c r="L4" s="4">
        <v>7600</v>
      </c>
      <c r="M4" s="12">
        <v>150</v>
      </c>
      <c r="N4" s="2">
        <v>150</v>
      </c>
      <c r="O4" s="2">
        <v>5</v>
      </c>
      <c r="P4" s="4">
        <v>81500</v>
      </c>
      <c r="Q4" s="4">
        <v>36000</v>
      </c>
      <c r="R4" s="15">
        <f t="shared" ref="R4:R31" si="1">SUM(F4+H4+I4+J4+K4+L4+P4+Q4)</f>
        <v>514300</v>
      </c>
      <c r="S4" s="18">
        <f t="shared" ref="S4:S29" si="2">F4+H4+L4</f>
        <v>237600</v>
      </c>
      <c r="T4" s="18">
        <f t="shared" ref="T4:T48" si="3">F4+H4+I4+J4+L4</f>
        <v>369240</v>
      </c>
      <c r="U4" s="8">
        <v>220</v>
      </c>
      <c r="V4" s="9">
        <v>12</v>
      </c>
    </row>
    <row r="5" spans="1:22" x14ac:dyDescent="0.2">
      <c r="B5" s="2">
        <v>20</v>
      </c>
      <c r="C5" s="2" t="s">
        <v>11</v>
      </c>
      <c r="D5" s="2" t="s">
        <v>12</v>
      </c>
      <c r="E5" s="2">
        <v>535</v>
      </c>
      <c r="F5" s="4">
        <v>100000</v>
      </c>
      <c r="G5" s="2" t="s">
        <v>33</v>
      </c>
      <c r="H5" s="4">
        <v>142000</v>
      </c>
      <c r="I5" s="4">
        <v>127000</v>
      </c>
      <c r="J5" s="4">
        <f t="shared" si="0"/>
        <v>4180</v>
      </c>
      <c r="K5" s="4">
        <v>27560</v>
      </c>
      <c r="L5" s="10"/>
      <c r="M5" s="13"/>
      <c r="N5" s="2">
        <v>130</v>
      </c>
      <c r="O5" s="2">
        <v>5</v>
      </c>
      <c r="P5" s="4">
        <v>64000</v>
      </c>
      <c r="Q5" s="4">
        <v>35000</v>
      </c>
      <c r="R5" s="15">
        <f t="shared" si="1"/>
        <v>499740</v>
      </c>
      <c r="S5" s="18">
        <f t="shared" si="2"/>
        <v>242000</v>
      </c>
      <c r="T5" s="18">
        <f t="shared" si="3"/>
        <v>373180</v>
      </c>
      <c r="U5" s="8">
        <v>220</v>
      </c>
      <c r="V5" s="9">
        <v>19</v>
      </c>
    </row>
    <row r="6" spans="1:22" x14ac:dyDescent="0.2">
      <c r="B6" s="2">
        <v>30</v>
      </c>
      <c r="C6" s="2" t="s">
        <v>62</v>
      </c>
      <c r="D6" s="2" t="s">
        <v>63</v>
      </c>
      <c r="E6" s="2">
        <v>273</v>
      </c>
      <c r="F6" s="4">
        <v>90000</v>
      </c>
      <c r="G6" s="2" t="s">
        <v>34</v>
      </c>
      <c r="H6" s="4">
        <v>100000</v>
      </c>
      <c r="I6" s="4">
        <v>111000</v>
      </c>
      <c r="J6" s="4">
        <f t="shared" si="0"/>
        <v>1540</v>
      </c>
      <c r="L6" s="4">
        <v>4500</v>
      </c>
      <c r="M6" s="12">
        <v>150</v>
      </c>
      <c r="N6" s="2">
        <v>90</v>
      </c>
      <c r="O6" s="2">
        <v>3</v>
      </c>
      <c r="R6" s="15">
        <f t="shared" si="1"/>
        <v>307040</v>
      </c>
      <c r="S6" s="18">
        <f t="shared" si="2"/>
        <v>194500</v>
      </c>
      <c r="T6" s="18">
        <f t="shared" si="3"/>
        <v>307040</v>
      </c>
      <c r="U6" s="8">
        <v>220</v>
      </c>
      <c r="V6" s="9">
        <v>7</v>
      </c>
    </row>
    <row r="7" spans="1:22" x14ac:dyDescent="0.2">
      <c r="B7" s="2">
        <v>40</v>
      </c>
      <c r="C7" s="2" t="s">
        <v>13</v>
      </c>
      <c r="D7" s="2" t="s">
        <v>14</v>
      </c>
      <c r="E7" s="2">
        <v>300</v>
      </c>
      <c r="F7" s="4">
        <v>70000</v>
      </c>
      <c r="G7" s="2" t="s">
        <v>35</v>
      </c>
      <c r="H7" s="4">
        <v>119000</v>
      </c>
      <c r="I7" s="4">
        <v>120000</v>
      </c>
      <c r="J7" s="4">
        <f t="shared" si="0"/>
        <v>2640</v>
      </c>
      <c r="K7" s="4">
        <v>27560</v>
      </c>
      <c r="L7" s="4">
        <v>5400</v>
      </c>
      <c r="M7" s="12">
        <v>180</v>
      </c>
      <c r="N7" s="2">
        <v>120</v>
      </c>
      <c r="O7" s="2">
        <v>4</v>
      </c>
      <c r="P7" s="4">
        <v>64000</v>
      </c>
      <c r="Q7" s="4">
        <v>30000</v>
      </c>
      <c r="R7" s="15">
        <f t="shared" si="1"/>
        <v>438600</v>
      </c>
      <c r="S7" s="18">
        <f t="shared" si="2"/>
        <v>194400</v>
      </c>
      <c r="T7" s="18">
        <f t="shared" si="3"/>
        <v>317040</v>
      </c>
      <c r="U7" s="8">
        <v>220</v>
      </c>
      <c r="V7" s="9">
        <v>12</v>
      </c>
    </row>
    <row r="8" spans="1:22" x14ac:dyDescent="0.2">
      <c r="B8" s="2">
        <v>180</v>
      </c>
      <c r="C8" s="2" t="s">
        <v>13</v>
      </c>
      <c r="D8" s="2" t="s">
        <v>64</v>
      </c>
      <c r="E8" s="2">
        <v>300</v>
      </c>
      <c r="F8" s="4">
        <v>70000</v>
      </c>
      <c r="G8" s="2" t="s">
        <v>36</v>
      </c>
      <c r="H8" s="4">
        <v>120000</v>
      </c>
      <c r="I8" s="4">
        <v>122000</v>
      </c>
      <c r="L8" s="4">
        <v>6700</v>
      </c>
      <c r="M8" s="12">
        <v>180</v>
      </c>
      <c r="N8" s="2">
        <v>130</v>
      </c>
      <c r="O8" s="2">
        <v>4</v>
      </c>
      <c r="P8" s="4">
        <v>63000</v>
      </c>
      <c r="Q8" s="4">
        <v>35000</v>
      </c>
      <c r="R8" s="15">
        <f t="shared" si="1"/>
        <v>416700</v>
      </c>
      <c r="S8" s="18">
        <f t="shared" si="2"/>
        <v>196700</v>
      </c>
      <c r="T8" s="18">
        <f t="shared" si="3"/>
        <v>318700</v>
      </c>
      <c r="U8" s="8">
        <v>220</v>
      </c>
      <c r="V8" s="9">
        <v>10</v>
      </c>
    </row>
    <row r="9" spans="1:22" x14ac:dyDescent="0.2">
      <c r="C9" s="2" t="s">
        <v>15</v>
      </c>
      <c r="D9" s="2" t="s">
        <v>16</v>
      </c>
      <c r="E9" s="2">
        <v>495</v>
      </c>
      <c r="F9" s="4">
        <v>102000</v>
      </c>
      <c r="G9" s="2" t="s">
        <v>37</v>
      </c>
      <c r="H9" s="4">
        <v>138000</v>
      </c>
      <c r="I9" s="4">
        <v>120000</v>
      </c>
      <c r="J9" s="4">
        <f t="shared" si="0"/>
        <v>2420</v>
      </c>
      <c r="L9" s="10"/>
      <c r="M9" s="13"/>
      <c r="N9" s="2">
        <v>125</v>
      </c>
      <c r="O9" s="2">
        <v>4</v>
      </c>
      <c r="P9" s="4">
        <v>64000</v>
      </c>
      <c r="Q9" s="4">
        <v>35000</v>
      </c>
      <c r="R9" s="15">
        <f t="shared" si="1"/>
        <v>461420</v>
      </c>
      <c r="S9" s="18">
        <f t="shared" si="2"/>
        <v>240000</v>
      </c>
      <c r="T9" s="18">
        <f t="shared" si="3"/>
        <v>362420</v>
      </c>
      <c r="U9" s="8">
        <v>220</v>
      </c>
      <c r="V9" s="9">
        <v>11</v>
      </c>
    </row>
    <row r="10" spans="1:22" x14ac:dyDescent="0.2">
      <c r="C10" s="2" t="s">
        <v>15</v>
      </c>
      <c r="D10" s="2" t="s">
        <v>16</v>
      </c>
      <c r="E10" s="2">
        <v>495</v>
      </c>
      <c r="F10" s="4">
        <v>102000</v>
      </c>
      <c r="G10" s="2" t="s">
        <v>38</v>
      </c>
      <c r="H10" s="4">
        <v>145000</v>
      </c>
      <c r="I10" s="4">
        <v>126000</v>
      </c>
      <c r="J10" s="4">
        <f t="shared" si="0"/>
        <v>3300</v>
      </c>
      <c r="L10" s="10"/>
      <c r="M10" s="13"/>
      <c r="N10" s="2">
        <v>125</v>
      </c>
      <c r="O10" s="2">
        <v>5</v>
      </c>
      <c r="P10" s="4">
        <v>64000</v>
      </c>
      <c r="Q10" s="4">
        <v>35000</v>
      </c>
      <c r="R10" s="15">
        <f t="shared" si="1"/>
        <v>475300</v>
      </c>
      <c r="S10" s="18">
        <f t="shared" si="2"/>
        <v>247000</v>
      </c>
      <c r="T10" s="18">
        <f t="shared" si="3"/>
        <v>376300</v>
      </c>
      <c r="U10" s="8">
        <v>220</v>
      </c>
      <c r="V10" s="9">
        <v>15</v>
      </c>
    </row>
    <row r="11" spans="1:22" x14ac:dyDescent="0.2">
      <c r="B11" s="2">
        <v>180</v>
      </c>
      <c r="C11" s="2" t="s">
        <v>15</v>
      </c>
      <c r="D11" s="2" t="s">
        <v>16</v>
      </c>
      <c r="E11" s="2">
        <v>495</v>
      </c>
      <c r="F11" s="4">
        <v>102000</v>
      </c>
      <c r="G11" s="2" t="s">
        <v>39</v>
      </c>
      <c r="H11" s="4">
        <v>124000</v>
      </c>
      <c r="I11" s="4">
        <v>125000</v>
      </c>
      <c r="J11" s="4">
        <f t="shared" si="0"/>
        <v>2420</v>
      </c>
      <c r="L11" s="4">
        <v>6300</v>
      </c>
      <c r="M11" s="12">
        <v>180</v>
      </c>
      <c r="N11" s="2">
        <v>138</v>
      </c>
      <c r="O11" s="2">
        <v>5</v>
      </c>
      <c r="P11" s="4">
        <v>65000</v>
      </c>
      <c r="Q11" s="4">
        <v>35000</v>
      </c>
      <c r="R11" s="15">
        <f t="shared" si="1"/>
        <v>459720</v>
      </c>
      <c r="S11" s="18">
        <f t="shared" si="2"/>
        <v>232300</v>
      </c>
      <c r="T11" s="18">
        <f t="shared" si="3"/>
        <v>359720</v>
      </c>
      <c r="U11" s="8">
        <v>220</v>
      </c>
      <c r="V11" s="9">
        <v>11</v>
      </c>
    </row>
    <row r="12" spans="1:22" x14ac:dyDescent="0.2">
      <c r="C12" s="2" t="s">
        <v>22</v>
      </c>
      <c r="D12" s="2" t="s">
        <v>21</v>
      </c>
      <c r="E12" s="2">
        <v>630</v>
      </c>
      <c r="F12" s="4">
        <v>114000</v>
      </c>
      <c r="G12" s="2" t="s">
        <v>40</v>
      </c>
      <c r="H12" s="4">
        <v>140000</v>
      </c>
      <c r="I12" s="4">
        <v>133000</v>
      </c>
      <c r="J12" s="4">
        <f t="shared" si="0"/>
        <v>3300</v>
      </c>
      <c r="K12" s="4">
        <v>27560</v>
      </c>
      <c r="L12" s="4">
        <v>4900</v>
      </c>
      <c r="M12" s="12">
        <v>180</v>
      </c>
      <c r="N12" s="2">
        <v>155</v>
      </c>
      <c r="O12" s="2">
        <v>5</v>
      </c>
      <c r="P12" s="4">
        <v>84000</v>
      </c>
      <c r="Q12" s="4">
        <v>37000</v>
      </c>
      <c r="R12" s="15">
        <f t="shared" si="1"/>
        <v>543760</v>
      </c>
      <c r="S12" s="18">
        <f t="shared" si="2"/>
        <v>258900</v>
      </c>
      <c r="T12" s="18">
        <f t="shared" si="3"/>
        <v>395200</v>
      </c>
      <c r="U12" s="8">
        <v>220</v>
      </c>
      <c r="V12" s="9">
        <v>15</v>
      </c>
    </row>
    <row r="13" spans="1:22" x14ac:dyDescent="0.2">
      <c r="C13" s="2" t="s">
        <v>81</v>
      </c>
      <c r="D13" s="2" t="s">
        <v>80</v>
      </c>
      <c r="E13" s="2">
        <v>830</v>
      </c>
      <c r="F13" s="4">
        <v>70000</v>
      </c>
      <c r="G13" s="2" t="s">
        <v>39</v>
      </c>
      <c r="H13" s="4">
        <v>128000</v>
      </c>
      <c r="I13" s="4">
        <v>130000</v>
      </c>
      <c r="J13" s="4">
        <f t="shared" si="0"/>
        <v>2420</v>
      </c>
      <c r="L13" s="4">
        <v>6300</v>
      </c>
      <c r="M13" s="12">
        <v>180</v>
      </c>
      <c r="N13" s="2">
        <v>138</v>
      </c>
      <c r="O13" s="2">
        <v>5</v>
      </c>
      <c r="P13" s="4">
        <v>65000</v>
      </c>
      <c r="Q13" s="4">
        <v>35000</v>
      </c>
      <c r="R13" s="15">
        <f t="shared" si="1"/>
        <v>436720</v>
      </c>
      <c r="S13" s="18">
        <f t="shared" si="2"/>
        <v>204300</v>
      </c>
      <c r="T13" s="18">
        <f t="shared" si="3"/>
        <v>336720</v>
      </c>
      <c r="U13" s="8">
        <v>220</v>
      </c>
      <c r="V13" s="9">
        <v>11</v>
      </c>
    </row>
    <row r="14" spans="1:22" x14ac:dyDescent="0.2">
      <c r="C14" s="2" t="s">
        <v>22</v>
      </c>
      <c r="D14" s="2" t="s">
        <v>21</v>
      </c>
      <c r="E14" s="2">
        <v>630</v>
      </c>
      <c r="F14" s="4">
        <v>114000</v>
      </c>
      <c r="G14" s="2" t="s">
        <v>42</v>
      </c>
      <c r="H14" s="4">
        <v>131000</v>
      </c>
      <c r="I14" s="4">
        <v>129000</v>
      </c>
      <c r="J14" s="4">
        <f t="shared" si="0"/>
        <v>2860</v>
      </c>
      <c r="K14" s="4">
        <v>27560</v>
      </c>
      <c r="L14" s="4">
        <v>7300</v>
      </c>
      <c r="M14" s="12">
        <v>180</v>
      </c>
      <c r="N14" s="2">
        <v>150</v>
      </c>
      <c r="O14" s="2">
        <v>5</v>
      </c>
      <c r="P14" s="4">
        <v>84000</v>
      </c>
      <c r="Q14" s="4">
        <v>37000</v>
      </c>
      <c r="R14" s="15">
        <f t="shared" si="1"/>
        <v>532720</v>
      </c>
      <c r="S14" s="18">
        <f t="shared" si="2"/>
        <v>252300</v>
      </c>
      <c r="T14" s="18">
        <f t="shared" si="3"/>
        <v>384160</v>
      </c>
      <c r="U14" s="8">
        <v>220</v>
      </c>
      <c r="V14" s="9">
        <v>13</v>
      </c>
    </row>
    <row r="15" spans="1:22" x14ac:dyDescent="0.2">
      <c r="C15" s="2" t="s">
        <v>24</v>
      </c>
      <c r="D15" s="2" t="s">
        <v>23</v>
      </c>
      <c r="E15" s="2">
        <v>865</v>
      </c>
      <c r="F15" s="4">
        <v>140000</v>
      </c>
      <c r="G15" s="2" t="s">
        <v>31</v>
      </c>
      <c r="H15" s="4">
        <v>170000</v>
      </c>
      <c r="I15" s="4">
        <v>192000</v>
      </c>
      <c r="J15" s="4">
        <f t="shared" si="0"/>
        <v>3080</v>
      </c>
      <c r="K15" s="4">
        <v>27560</v>
      </c>
      <c r="L15" s="4">
        <v>3600</v>
      </c>
      <c r="M15" s="12">
        <v>180</v>
      </c>
      <c r="N15" s="2">
        <v>200</v>
      </c>
      <c r="O15" s="2">
        <v>8</v>
      </c>
      <c r="P15" s="4">
        <v>100000</v>
      </c>
      <c r="Q15" s="4">
        <v>42000</v>
      </c>
      <c r="R15" s="15">
        <f t="shared" si="1"/>
        <v>678240</v>
      </c>
      <c r="S15" s="18">
        <f t="shared" si="2"/>
        <v>313600</v>
      </c>
      <c r="T15" s="18">
        <f>F15+H15+I15+J15+L15</f>
        <v>508680</v>
      </c>
      <c r="U15" s="8">
        <v>220</v>
      </c>
      <c r="V15" s="9">
        <v>14</v>
      </c>
    </row>
    <row r="16" spans="1:22" x14ac:dyDescent="0.2">
      <c r="B16" s="2">
        <v>140</v>
      </c>
      <c r="C16" s="2" t="s">
        <v>79</v>
      </c>
      <c r="D16" s="2" t="s">
        <v>78</v>
      </c>
      <c r="E16" s="2">
        <v>750</v>
      </c>
      <c r="F16" s="4">
        <v>112350</v>
      </c>
      <c r="G16" s="2" t="s">
        <v>32</v>
      </c>
      <c r="H16" s="4">
        <v>180000</v>
      </c>
      <c r="I16" s="4">
        <v>207000</v>
      </c>
      <c r="J16" s="4">
        <v>0</v>
      </c>
      <c r="K16" s="4">
        <v>0</v>
      </c>
      <c r="L16" s="4">
        <v>5130</v>
      </c>
      <c r="M16" s="12">
        <v>170</v>
      </c>
      <c r="N16" s="2">
        <v>210</v>
      </c>
      <c r="O16" s="2">
        <v>8</v>
      </c>
      <c r="P16" s="4">
        <v>110000</v>
      </c>
      <c r="Q16" s="4">
        <v>50000</v>
      </c>
      <c r="R16" s="15">
        <f>SUM(F16+H16+I16+J16+K16+L16+P16+Q16)</f>
        <v>664480</v>
      </c>
      <c r="S16" s="18">
        <f t="shared" si="2"/>
        <v>297480</v>
      </c>
      <c r="T16" s="18">
        <f>F16+H16+I16+J16+L16</f>
        <v>504480</v>
      </c>
      <c r="U16" s="8">
        <v>220</v>
      </c>
      <c r="V16" s="9">
        <v>14</v>
      </c>
    </row>
    <row r="17" spans="1:22" x14ac:dyDescent="0.2">
      <c r="C17" s="2" t="s">
        <v>24</v>
      </c>
      <c r="D17" s="2" t="s">
        <v>23</v>
      </c>
      <c r="E17" s="2">
        <v>865</v>
      </c>
      <c r="F17" s="4">
        <v>140000</v>
      </c>
      <c r="G17" s="2" t="s">
        <v>41</v>
      </c>
      <c r="H17" s="4">
        <v>150000</v>
      </c>
      <c r="I17" s="4">
        <v>132000</v>
      </c>
      <c r="J17" s="4">
        <f t="shared" si="0"/>
        <v>4620</v>
      </c>
      <c r="K17" s="4">
        <v>27560</v>
      </c>
      <c r="L17" s="10"/>
      <c r="M17" s="13"/>
      <c r="N17" s="2">
        <v>150</v>
      </c>
      <c r="O17" s="2">
        <v>5</v>
      </c>
      <c r="P17" s="4">
        <v>84000</v>
      </c>
      <c r="Q17" s="4">
        <v>37000</v>
      </c>
      <c r="R17" s="15">
        <f t="shared" si="1"/>
        <v>575180</v>
      </c>
      <c r="S17" s="18">
        <f t="shared" si="2"/>
        <v>290000</v>
      </c>
      <c r="T17" s="18">
        <f t="shared" si="3"/>
        <v>426620</v>
      </c>
      <c r="U17" s="8">
        <v>220</v>
      </c>
      <c r="V17" s="9">
        <v>21</v>
      </c>
    </row>
    <row r="18" spans="1:22" x14ac:dyDescent="0.2">
      <c r="A18">
        <v>30</v>
      </c>
      <c r="C18" s="2" t="s">
        <v>26</v>
      </c>
      <c r="D18" s="2" t="s">
        <v>25</v>
      </c>
      <c r="E18" s="2">
        <v>544</v>
      </c>
      <c r="F18" s="4">
        <v>87100</v>
      </c>
      <c r="G18" s="2" t="s">
        <v>43</v>
      </c>
      <c r="H18" s="4">
        <v>148000</v>
      </c>
      <c r="I18" s="4">
        <v>136000</v>
      </c>
      <c r="J18" s="4">
        <f t="shared" si="0"/>
        <v>3080</v>
      </c>
      <c r="K18" s="4">
        <v>27560</v>
      </c>
      <c r="L18" s="4">
        <v>8100</v>
      </c>
      <c r="M18" s="12">
        <v>150</v>
      </c>
      <c r="N18" s="2">
        <v>180</v>
      </c>
      <c r="O18" s="2">
        <v>5</v>
      </c>
      <c r="P18" s="4">
        <v>90000</v>
      </c>
      <c r="Q18" s="4">
        <v>40000</v>
      </c>
      <c r="R18" s="15">
        <f t="shared" si="1"/>
        <v>539840</v>
      </c>
      <c r="S18" s="18">
        <f t="shared" si="2"/>
        <v>243200</v>
      </c>
      <c r="T18" s="18">
        <f t="shared" si="3"/>
        <v>382280</v>
      </c>
      <c r="U18" s="8">
        <v>220</v>
      </c>
      <c r="V18" s="9">
        <v>14</v>
      </c>
    </row>
    <row r="19" spans="1:22" x14ac:dyDescent="0.2">
      <c r="B19" s="2">
        <v>100</v>
      </c>
      <c r="C19" s="2" t="s">
        <v>26</v>
      </c>
      <c r="D19" s="2" t="s">
        <v>25</v>
      </c>
      <c r="E19" s="2">
        <v>544</v>
      </c>
      <c r="F19" s="4">
        <v>87100</v>
      </c>
      <c r="G19" s="2" t="s">
        <v>44</v>
      </c>
      <c r="H19" s="4">
        <v>146000</v>
      </c>
      <c r="I19" s="4">
        <v>137000</v>
      </c>
      <c r="J19" s="4">
        <f t="shared" si="0"/>
        <v>3300</v>
      </c>
      <c r="K19" s="4">
        <v>27560</v>
      </c>
      <c r="L19" s="4">
        <v>7700</v>
      </c>
      <c r="M19" s="12">
        <v>180</v>
      </c>
      <c r="N19" s="2">
        <v>180</v>
      </c>
      <c r="O19" s="2">
        <v>6</v>
      </c>
      <c r="P19" s="4">
        <v>90000</v>
      </c>
      <c r="Q19" s="4">
        <v>40000</v>
      </c>
      <c r="R19" s="15">
        <f t="shared" si="1"/>
        <v>538660</v>
      </c>
      <c r="S19" s="18">
        <f t="shared" si="2"/>
        <v>240800</v>
      </c>
      <c r="T19" s="18">
        <f t="shared" si="3"/>
        <v>381100</v>
      </c>
      <c r="U19" s="8">
        <v>220</v>
      </c>
      <c r="V19" s="9">
        <v>15</v>
      </c>
    </row>
    <row r="20" spans="1:22" x14ac:dyDescent="0.2">
      <c r="B20" s="2">
        <v>110</v>
      </c>
      <c r="C20" s="2" t="s">
        <v>26</v>
      </c>
      <c r="D20" s="2" t="s">
        <v>25</v>
      </c>
      <c r="E20" s="2">
        <v>544</v>
      </c>
      <c r="F20" s="4">
        <v>87100</v>
      </c>
      <c r="G20" s="2" t="s">
        <v>38</v>
      </c>
      <c r="H20" s="4">
        <v>145000</v>
      </c>
      <c r="I20" s="4">
        <v>126000</v>
      </c>
      <c r="J20" s="4">
        <f t="shared" si="0"/>
        <v>3300</v>
      </c>
      <c r="K20" s="4">
        <v>27560</v>
      </c>
      <c r="L20" s="10"/>
      <c r="M20" s="13"/>
      <c r="N20" s="2">
        <v>125</v>
      </c>
      <c r="O20" s="2">
        <v>5</v>
      </c>
      <c r="P20" s="4">
        <v>64000</v>
      </c>
      <c r="Q20" s="4">
        <v>35000</v>
      </c>
      <c r="R20" s="15">
        <f t="shared" si="1"/>
        <v>487960</v>
      </c>
      <c r="S20" s="18">
        <f t="shared" si="2"/>
        <v>232100</v>
      </c>
      <c r="T20" s="18">
        <f t="shared" si="3"/>
        <v>361400</v>
      </c>
      <c r="U20" s="8">
        <v>220</v>
      </c>
      <c r="V20" s="9">
        <v>15</v>
      </c>
    </row>
    <row r="21" spans="1:22" x14ac:dyDescent="0.2">
      <c r="C21" s="2" t="s">
        <v>26</v>
      </c>
      <c r="D21" s="2" t="s">
        <v>82</v>
      </c>
      <c r="E21" s="2">
        <v>580</v>
      </c>
      <c r="F21" s="4">
        <v>99000</v>
      </c>
      <c r="G21" s="2" t="s">
        <v>47</v>
      </c>
      <c r="H21" s="4">
        <v>167000</v>
      </c>
      <c r="I21" s="4">
        <v>133000</v>
      </c>
      <c r="J21" s="4">
        <f t="shared" si="0"/>
        <v>3300</v>
      </c>
      <c r="K21" s="4">
        <v>28200</v>
      </c>
      <c r="L21" s="10"/>
      <c r="M21" s="13"/>
      <c r="N21" s="2">
        <v>140</v>
      </c>
      <c r="O21" s="2">
        <v>5</v>
      </c>
      <c r="P21" s="4">
        <v>65000</v>
      </c>
      <c r="Q21" s="4">
        <v>35000</v>
      </c>
      <c r="R21" s="15">
        <f t="shared" si="1"/>
        <v>530500</v>
      </c>
      <c r="S21" s="18">
        <f t="shared" si="2"/>
        <v>266000</v>
      </c>
      <c r="T21" s="18">
        <f>F21+H21+I21+J21+L21+K21</f>
        <v>430500</v>
      </c>
      <c r="U21" s="8">
        <v>220</v>
      </c>
      <c r="V21" s="9">
        <v>15</v>
      </c>
    </row>
    <row r="22" spans="1:22" x14ac:dyDescent="0.2">
      <c r="C22" s="2" t="s">
        <v>26</v>
      </c>
      <c r="D22" s="2" t="s">
        <v>25</v>
      </c>
      <c r="E22" s="2">
        <v>650</v>
      </c>
      <c r="F22" s="4">
        <v>97800</v>
      </c>
      <c r="G22" s="2" t="s">
        <v>48</v>
      </c>
      <c r="H22" s="4">
        <v>166000</v>
      </c>
      <c r="I22" s="4">
        <v>136000</v>
      </c>
      <c r="J22" s="4">
        <f t="shared" si="0"/>
        <v>4400</v>
      </c>
      <c r="K22" s="4">
        <v>28200</v>
      </c>
      <c r="L22" s="10"/>
      <c r="M22" s="13"/>
      <c r="N22" s="2">
        <v>155</v>
      </c>
      <c r="O22" s="2">
        <v>5</v>
      </c>
      <c r="P22" s="4">
        <v>84000</v>
      </c>
      <c r="Q22" s="4">
        <v>37000</v>
      </c>
      <c r="R22" s="15">
        <f t="shared" si="1"/>
        <v>553400</v>
      </c>
      <c r="S22" s="18">
        <f>F22+H22+L22</f>
        <v>263800</v>
      </c>
      <c r="T22" s="18">
        <f t="shared" si="3"/>
        <v>404200</v>
      </c>
      <c r="U22" s="8">
        <v>220</v>
      </c>
      <c r="V22" s="9">
        <v>20</v>
      </c>
    </row>
    <row r="23" spans="1:22" x14ac:dyDescent="0.2">
      <c r="C23" s="2" t="s">
        <v>83</v>
      </c>
      <c r="D23" s="2" t="s">
        <v>84</v>
      </c>
      <c r="E23" s="2">
        <v>557</v>
      </c>
      <c r="F23" s="4">
        <v>250650</v>
      </c>
      <c r="G23" s="2" t="s">
        <v>41</v>
      </c>
      <c r="H23" s="4">
        <v>155000</v>
      </c>
      <c r="I23" s="4">
        <v>137000</v>
      </c>
      <c r="J23" s="4">
        <f t="shared" si="0"/>
        <v>4200</v>
      </c>
      <c r="L23" s="10"/>
      <c r="M23" s="13"/>
      <c r="N23" s="2">
        <v>150</v>
      </c>
      <c r="O23" s="2">
        <v>5</v>
      </c>
      <c r="P23" s="4">
        <v>84000</v>
      </c>
      <c r="Q23" s="4">
        <v>37000</v>
      </c>
      <c r="R23" s="15">
        <f t="shared" si="1"/>
        <v>667850</v>
      </c>
      <c r="S23" s="18">
        <f t="shared" si="2"/>
        <v>405650</v>
      </c>
      <c r="T23" s="18">
        <f t="shared" si="3"/>
        <v>546850</v>
      </c>
      <c r="U23" s="8">
        <v>200</v>
      </c>
      <c r="V23" s="9">
        <v>21</v>
      </c>
    </row>
    <row r="24" spans="1:22" x14ac:dyDescent="0.2">
      <c r="B24" s="2">
        <v>80</v>
      </c>
      <c r="C24" s="2" t="s">
        <v>27</v>
      </c>
      <c r="D24" s="2" t="s">
        <v>28</v>
      </c>
      <c r="E24" s="2">
        <v>2160</v>
      </c>
      <c r="F24" s="4">
        <v>75000</v>
      </c>
      <c r="G24" s="2" t="s">
        <v>61</v>
      </c>
      <c r="H24" s="4">
        <v>115000</v>
      </c>
      <c r="I24" s="4">
        <v>109000</v>
      </c>
      <c r="J24" s="4">
        <f t="shared" si="0"/>
        <v>2420</v>
      </c>
      <c r="K24" s="4">
        <v>28200</v>
      </c>
      <c r="L24" s="10"/>
      <c r="M24" s="13"/>
      <c r="N24" s="2">
        <v>80</v>
      </c>
      <c r="O24" s="2">
        <v>2</v>
      </c>
      <c r="P24" s="4">
        <v>40000</v>
      </c>
      <c r="Q24" s="4">
        <v>31000</v>
      </c>
      <c r="R24" s="15">
        <f t="shared" si="1"/>
        <v>400620</v>
      </c>
      <c r="S24" s="18">
        <f t="shared" si="2"/>
        <v>190000</v>
      </c>
      <c r="T24" s="18">
        <f t="shared" si="3"/>
        <v>301420</v>
      </c>
      <c r="U24" s="8">
        <v>220</v>
      </c>
      <c r="V24" s="9">
        <v>11</v>
      </c>
    </row>
    <row r="25" spans="1:22" x14ac:dyDescent="0.2">
      <c r="B25" s="2">
        <v>90</v>
      </c>
      <c r="C25" s="2" t="s">
        <v>27</v>
      </c>
      <c r="D25" s="2" t="s">
        <v>28</v>
      </c>
      <c r="E25" s="2">
        <v>2160</v>
      </c>
      <c r="F25" s="4">
        <v>75000</v>
      </c>
      <c r="G25" s="2" t="s">
        <v>45</v>
      </c>
      <c r="H25" s="4">
        <v>140000</v>
      </c>
      <c r="I25" s="4">
        <v>127000</v>
      </c>
      <c r="J25" s="4">
        <f t="shared" si="0"/>
        <v>2860</v>
      </c>
      <c r="K25" s="4">
        <v>28200</v>
      </c>
      <c r="L25" s="10"/>
      <c r="M25" s="13"/>
      <c r="N25" s="2">
        <v>110</v>
      </c>
      <c r="O25" s="2">
        <v>4</v>
      </c>
      <c r="P25" s="4">
        <v>64000</v>
      </c>
      <c r="Q25" s="4">
        <v>37000</v>
      </c>
      <c r="R25" s="15">
        <f t="shared" si="1"/>
        <v>474060</v>
      </c>
      <c r="S25" s="18">
        <f t="shared" si="2"/>
        <v>215000</v>
      </c>
      <c r="T25" s="18">
        <f t="shared" si="3"/>
        <v>344860</v>
      </c>
      <c r="U25" s="8">
        <v>220</v>
      </c>
      <c r="V25" s="9">
        <v>13</v>
      </c>
    </row>
    <row r="26" spans="1:22" x14ac:dyDescent="0.2">
      <c r="A26">
        <v>40</v>
      </c>
      <c r="C26" s="2" t="s">
        <v>27</v>
      </c>
      <c r="D26" s="2" t="s">
        <v>28</v>
      </c>
      <c r="E26" s="2">
        <v>2160</v>
      </c>
      <c r="F26" s="4">
        <v>75000</v>
      </c>
      <c r="G26" s="2" t="s">
        <v>46</v>
      </c>
      <c r="H26" s="4">
        <v>132000</v>
      </c>
      <c r="I26" s="4">
        <v>118000</v>
      </c>
      <c r="J26" s="4">
        <f t="shared" si="0"/>
        <v>2420</v>
      </c>
      <c r="L26" s="10"/>
      <c r="M26" s="13"/>
      <c r="N26" s="2">
        <v>100</v>
      </c>
      <c r="O26" s="2">
        <v>3</v>
      </c>
      <c r="P26" s="4">
        <v>60000</v>
      </c>
      <c r="Q26" s="4">
        <v>37000</v>
      </c>
      <c r="R26" s="15">
        <f t="shared" si="1"/>
        <v>424420</v>
      </c>
      <c r="S26" s="18">
        <f t="shared" si="2"/>
        <v>207000</v>
      </c>
      <c r="T26" s="18">
        <f t="shared" si="3"/>
        <v>327420</v>
      </c>
      <c r="U26" s="8">
        <v>220</v>
      </c>
      <c r="V26" s="9">
        <v>11</v>
      </c>
    </row>
    <row r="27" spans="1:22" x14ac:dyDescent="0.2">
      <c r="C27" s="2" t="s">
        <v>69</v>
      </c>
      <c r="D27" s="2" t="s">
        <v>70</v>
      </c>
      <c r="E27" s="2">
        <v>3600</v>
      </c>
      <c r="F27" s="4">
        <v>85000</v>
      </c>
      <c r="G27" s="2" t="s">
        <v>39</v>
      </c>
      <c r="H27" s="4">
        <v>99999</v>
      </c>
      <c r="I27" s="4">
        <v>124970</v>
      </c>
      <c r="J27" s="4">
        <f t="shared" si="0"/>
        <v>2420</v>
      </c>
      <c r="L27" s="10"/>
      <c r="M27" s="13"/>
      <c r="N27" s="2">
        <v>140</v>
      </c>
      <c r="O27" s="2">
        <v>5</v>
      </c>
      <c r="P27" s="4">
        <v>47000</v>
      </c>
      <c r="Q27" s="4">
        <v>34000</v>
      </c>
      <c r="R27" s="15">
        <f t="shared" si="1"/>
        <v>393389</v>
      </c>
      <c r="S27" s="18">
        <f t="shared" si="2"/>
        <v>184999</v>
      </c>
      <c r="T27" s="18">
        <f t="shared" si="3"/>
        <v>312389</v>
      </c>
      <c r="U27" s="8">
        <v>220</v>
      </c>
      <c r="V27" s="9">
        <v>11</v>
      </c>
    </row>
    <row r="28" spans="1:22" x14ac:dyDescent="0.2">
      <c r="B28" s="2">
        <v>11</v>
      </c>
      <c r="C28" s="2" t="s">
        <v>29</v>
      </c>
      <c r="D28" s="2" t="s">
        <v>30</v>
      </c>
      <c r="E28" s="2">
        <v>528</v>
      </c>
      <c r="F28" s="6">
        <v>86350</v>
      </c>
      <c r="G28" s="2" t="s">
        <v>33</v>
      </c>
      <c r="H28" s="4">
        <v>142000</v>
      </c>
      <c r="I28" s="4">
        <v>127000</v>
      </c>
      <c r="J28" s="4">
        <f t="shared" si="0"/>
        <v>4180</v>
      </c>
      <c r="L28" s="10"/>
      <c r="M28" s="13"/>
      <c r="N28" s="2">
        <v>130</v>
      </c>
      <c r="O28" s="2">
        <v>5</v>
      </c>
      <c r="P28" s="4">
        <v>64000</v>
      </c>
      <c r="Q28" s="4">
        <v>35000</v>
      </c>
      <c r="R28" s="15">
        <f t="shared" si="1"/>
        <v>458530</v>
      </c>
      <c r="S28" s="18">
        <f t="shared" si="2"/>
        <v>228350</v>
      </c>
      <c r="T28" s="18">
        <f t="shared" si="3"/>
        <v>359530</v>
      </c>
      <c r="U28" s="8">
        <v>220</v>
      </c>
      <c r="V28" s="9">
        <v>19</v>
      </c>
    </row>
    <row r="29" spans="1:22" x14ac:dyDescent="0.2">
      <c r="B29" s="2">
        <v>60</v>
      </c>
      <c r="C29" s="2" t="s">
        <v>29</v>
      </c>
      <c r="D29" s="2" t="s">
        <v>30</v>
      </c>
      <c r="E29" s="2">
        <v>528</v>
      </c>
      <c r="F29" s="6">
        <v>86350</v>
      </c>
      <c r="G29" s="2" t="s">
        <v>38</v>
      </c>
      <c r="H29" s="4">
        <v>145000</v>
      </c>
      <c r="I29" s="4">
        <v>126000</v>
      </c>
      <c r="J29" s="4">
        <f t="shared" si="0"/>
        <v>3300</v>
      </c>
      <c r="L29" s="10"/>
      <c r="M29" s="13"/>
      <c r="N29" s="2">
        <v>125</v>
      </c>
      <c r="O29" s="2">
        <v>5</v>
      </c>
      <c r="P29" s="4">
        <v>64000</v>
      </c>
      <c r="Q29" s="4">
        <v>35000</v>
      </c>
      <c r="R29" s="15">
        <f t="shared" si="1"/>
        <v>459650</v>
      </c>
      <c r="S29" s="18">
        <f t="shared" si="2"/>
        <v>231350</v>
      </c>
      <c r="T29" s="18">
        <f t="shared" si="3"/>
        <v>360650</v>
      </c>
      <c r="U29" s="8">
        <v>220</v>
      </c>
      <c r="V29" s="9">
        <v>15</v>
      </c>
    </row>
    <row r="30" spans="1:22" x14ac:dyDescent="0.2">
      <c r="A30" s="19">
        <v>10</v>
      </c>
      <c r="B30" s="2">
        <v>190</v>
      </c>
      <c r="C30" s="2" t="s">
        <v>29</v>
      </c>
      <c r="D30" s="2" t="s">
        <v>30</v>
      </c>
      <c r="E30" s="2">
        <v>528</v>
      </c>
      <c r="F30" s="6">
        <v>87000</v>
      </c>
      <c r="G30" s="2" t="s">
        <v>39</v>
      </c>
      <c r="H30" s="4">
        <v>124000</v>
      </c>
      <c r="I30" s="4">
        <v>135000</v>
      </c>
      <c r="J30" s="4">
        <f>U30*V30</f>
        <v>2420</v>
      </c>
      <c r="L30" s="4">
        <v>6300</v>
      </c>
      <c r="M30" s="12">
        <v>180</v>
      </c>
      <c r="N30" s="2">
        <v>138</v>
      </c>
      <c r="O30" s="2">
        <v>5</v>
      </c>
      <c r="P30" s="4">
        <v>65000</v>
      </c>
      <c r="Q30" s="4">
        <v>35000</v>
      </c>
      <c r="R30" s="15">
        <f t="shared" si="1"/>
        <v>454720</v>
      </c>
      <c r="S30" s="18">
        <f>F30+H30+L30</f>
        <v>217300</v>
      </c>
      <c r="T30" s="18">
        <f t="shared" si="3"/>
        <v>354720</v>
      </c>
      <c r="U30" s="8">
        <v>220</v>
      </c>
      <c r="V30" s="9">
        <v>11</v>
      </c>
    </row>
    <row r="31" spans="1:22" x14ac:dyDescent="0.2">
      <c r="A31">
        <v>20</v>
      </c>
      <c r="C31" s="2" t="s">
        <v>66</v>
      </c>
      <c r="D31" s="2" t="s">
        <v>67</v>
      </c>
      <c r="E31" s="2">
        <v>528</v>
      </c>
      <c r="F31" s="6">
        <v>86350</v>
      </c>
      <c r="G31" s="2" t="s">
        <v>68</v>
      </c>
      <c r="H31" s="4">
        <v>114999</v>
      </c>
      <c r="I31" s="4">
        <v>108660</v>
      </c>
      <c r="J31" s="4">
        <f>U31*V31</f>
        <v>2420</v>
      </c>
      <c r="N31" s="2">
        <v>80</v>
      </c>
      <c r="O31" s="2">
        <v>2</v>
      </c>
      <c r="P31" s="4">
        <v>45000</v>
      </c>
      <c r="Q31" s="4">
        <v>30000</v>
      </c>
      <c r="R31" s="15">
        <f t="shared" si="1"/>
        <v>387429</v>
      </c>
      <c r="S31" s="18">
        <f>F31+H31+L31</f>
        <v>201349</v>
      </c>
      <c r="T31" s="18">
        <f t="shared" si="3"/>
        <v>312429</v>
      </c>
      <c r="U31" s="8">
        <v>220</v>
      </c>
      <c r="V31" s="9">
        <v>11</v>
      </c>
    </row>
    <row r="32" spans="1:22" x14ac:dyDescent="0.2">
      <c r="C32" s="2" t="s">
        <v>29</v>
      </c>
      <c r="D32" s="2" t="s">
        <v>30</v>
      </c>
      <c r="E32" s="2">
        <v>1070</v>
      </c>
      <c r="F32" s="6">
        <v>171680</v>
      </c>
      <c r="G32" s="2" t="s">
        <v>48</v>
      </c>
      <c r="H32" s="4">
        <v>166000</v>
      </c>
      <c r="I32" s="4">
        <v>136000</v>
      </c>
      <c r="J32" s="4">
        <f t="shared" ref="J32:J34" si="4">U32*V32</f>
        <v>3300</v>
      </c>
      <c r="L32" s="10"/>
      <c r="M32" s="13"/>
      <c r="N32" s="2">
        <v>155</v>
      </c>
      <c r="O32" s="2">
        <v>5</v>
      </c>
      <c r="P32" s="4">
        <v>84000</v>
      </c>
      <c r="Q32" s="4">
        <v>37000</v>
      </c>
      <c r="R32" s="15">
        <f t="shared" ref="R32" si="5">SUM(F32+H32+I32+J32+K32+L32+P32+Q32)</f>
        <v>597980</v>
      </c>
      <c r="S32" s="18">
        <f t="shared" ref="S32" si="6">F32+H32+L32</f>
        <v>337680</v>
      </c>
      <c r="T32" s="18">
        <f t="shared" si="3"/>
        <v>476980</v>
      </c>
      <c r="U32" s="8">
        <v>220</v>
      </c>
      <c r="V32" s="9">
        <v>15</v>
      </c>
    </row>
    <row r="33" spans="1:22" x14ac:dyDescent="0.2">
      <c r="C33" s="2" t="s">
        <v>29</v>
      </c>
      <c r="D33" s="2" t="s">
        <v>30</v>
      </c>
      <c r="E33" s="2">
        <v>1070</v>
      </c>
      <c r="F33" s="6">
        <v>171680</v>
      </c>
      <c r="G33" s="2" t="s">
        <v>59</v>
      </c>
      <c r="H33" s="4">
        <v>207000</v>
      </c>
      <c r="I33" s="4">
        <v>137000</v>
      </c>
      <c r="J33" s="4">
        <f t="shared" si="4"/>
        <v>4840</v>
      </c>
      <c r="L33" s="10"/>
      <c r="M33" s="13"/>
      <c r="N33" s="2">
        <v>190</v>
      </c>
      <c r="O33" s="2">
        <v>4</v>
      </c>
      <c r="P33" s="4">
        <v>95000</v>
      </c>
      <c r="Q33" s="4">
        <v>45000</v>
      </c>
      <c r="R33" s="15">
        <f t="shared" ref="R33" si="7">SUM(F33+H33+I33+J33+K33+L33+P33+Q33)</f>
        <v>660520</v>
      </c>
      <c r="S33" s="18">
        <f t="shared" ref="S33" si="8">F33+H33+L33</f>
        <v>378680</v>
      </c>
      <c r="T33" s="18">
        <f t="shared" si="3"/>
        <v>520520</v>
      </c>
      <c r="U33" s="8">
        <v>220</v>
      </c>
      <c r="V33" s="9">
        <v>22</v>
      </c>
    </row>
    <row r="34" spans="1:22" x14ac:dyDescent="0.2">
      <c r="B34" s="2">
        <v>170</v>
      </c>
      <c r="C34" s="2" t="s">
        <v>29</v>
      </c>
      <c r="D34" s="2" t="s">
        <v>30</v>
      </c>
      <c r="E34" s="2">
        <v>528</v>
      </c>
      <c r="F34" s="6">
        <v>88000</v>
      </c>
      <c r="G34" s="2" t="s">
        <v>60</v>
      </c>
      <c r="H34" s="4">
        <v>201000</v>
      </c>
      <c r="I34" s="4">
        <v>144000</v>
      </c>
      <c r="J34" s="4">
        <f t="shared" si="4"/>
        <v>4620</v>
      </c>
      <c r="L34" s="10"/>
      <c r="M34" s="13"/>
      <c r="N34" s="2">
        <v>170</v>
      </c>
      <c r="O34" s="2">
        <v>5</v>
      </c>
      <c r="P34" s="4">
        <v>86000</v>
      </c>
      <c r="Q34" s="4">
        <v>38000</v>
      </c>
      <c r="R34" s="15">
        <f t="shared" ref="R34" si="9">SUM(F34+H34+I34+J34+K34+L34+P34+Q34)</f>
        <v>561620</v>
      </c>
      <c r="S34" s="18">
        <f t="shared" ref="S34" si="10">F34+H34+L34</f>
        <v>289000</v>
      </c>
      <c r="T34" s="18">
        <f t="shared" si="3"/>
        <v>437620</v>
      </c>
      <c r="U34" s="8">
        <v>220</v>
      </c>
      <c r="V34" s="9">
        <v>21</v>
      </c>
    </row>
    <row r="35" spans="1:22" x14ac:dyDescent="0.2">
      <c r="B35" s="2">
        <v>120</v>
      </c>
      <c r="C35" s="2" t="s">
        <v>29</v>
      </c>
      <c r="D35" s="2" t="s">
        <v>30</v>
      </c>
      <c r="E35" s="2">
        <v>1070</v>
      </c>
      <c r="F35" s="6">
        <v>171680</v>
      </c>
      <c r="G35" s="2" t="s">
        <v>31</v>
      </c>
      <c r="H35" s="4">
        <v>170000</v>
      </c>
      <c r="I35" s="4">
        <v>192000</v>
      </c>
      <c r="J35" s="4">
        <f t="shared" ref="J35:J38" si="11">U35*V35</f>
        <v>3080</v>
      </c>
      <c r="L35" s="4">
        <v>3600</v>
      </c>
      <c r="M35" s="12">
        <v>180</v>
      </c>
      <c r="N35" s="2">
        <v>200</v>
      </c>
      <c r="O35" s="2">
        <v>8</v>
      </c>
      <c r="P35" s="4">
        <v>100000</v>
      </c>
      <c r="Q35" s="4">
        <v>42000</v>
      </c>
      <c r="R35" s="15">
        <f t="shared" ref="R35" si="12">SUM(F35+H35+I35+J35+K35+L35+P35+Q35)</f>
        <v>682360</v>
      </c>
      <c r="S35" s="18">
        <f t="shared" ref="S35" si="13">F35+H35+L35</f>
        <v>345280</v>
      </c>
      <c r="T35" s="18">
        <f t="shared" si="3"/>
        <v>540360</v>
      </c>
      <c r="U35" s="8">
        <v>220</v>
      </c>
      <c r="V35" s="9">
        <v>14</v>
      </c>
    </row>
    <row r="36" spans="1:22" x14ac:dyDescent="0.2">
      <c r="C36" s="2" t="s">
        <v>71</v>
      </c>
      <c r="D36" s="2" t="s">
        <v>12</v>
      </c>
      <c r="E36" s="2">
        <v>600</v>
      </c>
      <c r="F36" s="4">
        <v>72000</v>
      </c>
      <c r="G36" s="2" t="s">
        <v>44</v>
      </c>
      <c r="H36" s="4">
        <v>146000</v>
      </c>
      <c r="I36" s="4">
        <v>137000</v>
      </c>
      <c r="J36" s="4">
        <f t="shared" si="11"/>
        <v>3300</v>
      </c>
      <c r="L36" s="4">
        <v>7700</v>
      </c>
      <c r="M36" s="12">
        <v>180</v>
      </c>
      <c r="N36" s="2">
        <v>180</v>
      </c>
      <c r="O36" s="2">
        <v>6</v>
      </c>
      <c r="P36" s="4">
        <v>100000</v>
      </c>
      <c r="Q36" s="4">
        <v>42000</v>
      </c>
      <c r="R36" s="15">
        <f t="shared" ref="R36:R40" si="14">SUM(F36+H36+I36+J36+K36+L36+P36+Q36)</f>
        <v>508000</v>
      </c>
      <c r="S36" s="18">
        <f t="shared" ref="S36:S38" si="15">F36+H36+L36</f>
        <v>225700</v>
      </c>
      <c r="T36" s="18">
        <f t="shared" si="3"/>
        <v>366000</v>
      </c>
      <c r="U36" s="8">
        <v>220</v>
      </c>
      <c r="V36" s="9">
        <v>15</v>
      </c>
    </row>
    <row r="37" spans="1:22" x14ac:dyDescent="0.2">
      <c r="A37" s="20">
        <v>45060</v>
      </c>
      <c r="C37" s="2" t="s">
        <v>73</v>
      </c>
      <c r="D37" s="2" t="s">
        <v>74</v>
      </c>
      <c r="E37" s="2">
        <v>600</v>
      </c>
      <c r="F37" s="4">
        <v>210000</v>
      </c>
      <c r="G37" s="2" t="s">
        <v>75</v>
      </c>
      <c r="H37" s="4">
        <v>172000</v>
      </c>
      <c r="I37" s="4">
        <v>200000</v>
      </c>
      <c r="J37" s="4">
        <f t="shared" si="11"/>
        <v>0</v>
      </c>
      <c r="L37" s="4">
        <v>5130</v>
      </c>
      <c r="M37" s="12">
        <v>170</v>
      </c>
      <c r="N37" s="2">
        <v>210</v>
      </c>
      <c r="O37" s="2">
        <v>8</v>
      </c>
      <c r="P37" s="4">
        <v>100000</v>
      </c>
      <c r="Q37" s="4">
        <v>42000</v>
      </c>
      <c r="R37" s="15">
        <f t="shared" si="14"/>
        <v>729130</v>
      </c>
      <c r="S37" s="18">
        <f t="shared" si="15"/>
        <v>387130</v>
      </c>
      <c r="T37" s="18">
        <f t="shared" si="3"/>
        <v>587130</v>
      </c>
      <c r="U37" s="8">
        <v>220</v>
      </c>
    </row>
    <row r="38" spans="1:22" x14ac:dyDescent="0.2">
      <c r="C38" s="2" t="s">
        <v>76</v>
      </c>
      <c r="D38" s="2" t="s">
        <v>77</v>
      </c>
      <c r="E38" s="2">
        <v>484</v>
      </c>
      <c r="F38" s="4">
        <v>70400</v>
      </c>
      <c r="G38" s="2" t="s">
        <v>39</v>
      </c>
      <c r="H38" s="4">
        <v>127999</v>
      </c>
      <c r="I38" s="4">
        <v>129310</v>
      </c>
      <c r="J38" s="4">
        <f t="shared" si="11"/>
        <v>2090</v>
      </c>
      <c r="L38" s="4">
        <v>4190</v>
      </c>
      <c r="M38" s="12">
        <v>150</v>
      </c>
      <c r="N38" s="2">
        <v>140</v>
      </c>
      <c r="O38" s="2">
        <v>5</v>
      </c>
      <c r="P38" s="4">
        <v>65000</v>
      </c>
      <c r="Q38" s="4">
        <v>35000</v>
      </c>
      <c r="R38" s="15">
        <f t="shared" si="14"/>
        <v>433989</v>
      </c>
      <c r="S38" s="18">
        <f t="shared" si="15"/>
        <v>202589</v>
      </c>
      <c r="T38" s="18">
        <f t="shared" si="3"/>
        <v>333989</v>
      </c>
      <c r="U38" s="8">
        <v>190</v>
      </c>
      <c r="V38" s="9">
        <v>11</v>
      </c>
    </row>
    <row r="39" spans="1:22" x14ac:dyDescent="0.2">
      <c r="H39" s="4"/>
      <c r="R39" s="15">
        <f t="shared" si="14"/>
        <v>0</v>
      </c>
      <c r="T39" s="18">
        <f t="shared" si="3"/>
        <v>0</v>
      </c>
    </row>
    <row r="40" spans="1:22" x14ac:dyDescent="0.2">
      <c r="H40" s="4"/>
      <c r="R40" s="15">
        <f t="shared" si="14"/>
        <v>0</v>
      </c>
      <c r="T40" s="18">
        <f t="shared" si="3"/>
        <v>0</v>
      </c>
    </row>
    <row r="41" spans="1:22" x14ac:dyDescent="0.2">
      <c r="H41" s="4"/>
      <c r="T41" s="18">
        <f t="shared" si="3"/>
        <v>0</v>
      </c>
    </row>
    <row r="42" spans="1:22" x14ac:dyDescent="0.2">
      <c r="T42" s="18">
        <f t="shared" si="3"/>
        <v>0</v>
      </c>
    </row>
    <row r="43" spans="1:22" x14ac:dyDescent="0.2">
      <c r="T43" s="18">
        <f t="shared" si="3"/>
        <v>0</v>
      </c>
    </row>
    <row r="44" spans="1:22" x14ac:dyDescent="0.2">
      <c r="T44" s="18">
        <f t="shared" si="3"/>
        <v>0</v>
      </c>
    </row>
    <row r="45" spans="1:22" x14ac:dyDescent="0.2">
      <c r="T45" s="18">
        <f t="shared" si="3"/>
        <v>0</v>
      </c>
    </row>
    <row r="46" spans="1:22" x14ac:dyDescent="0.2">
      <c r="T46" s="18">
        <f t="shared" si="3"/>
        <v>0</v>
      </c>
    </row>
    <row r="47" spans="1:22" x14ac:dyDescent="0.2">
      <c r="T47" s="18">
        <f t="shared" si="3"/>
        <v>0</v>
      </c>
    </row>
    <row r="48" spans="1:22" x14ac:dyDescent="0.2">
      <c r="T48" s="18">
        <f t="shared" si="3"/>
        <v>0</v>
      </c>
    </row>
  </sheetData>
  <mergeCells count="6">
    <mergeCell ref="L2:M2"/>
    <mergeCell ref="A1:B1"/>
    <mergeCell ref="C1:D1"/>
    <mergeCell ref="I1:L1"/>
    <mergeCell ref="E1:F1"/>
    <mergeCell ref="G1:H1"/>
  </mergeCells>
  <phoneticPr fontId="4" type="noConversion"/>
  <pageMargins left="0.7" right="0.7" top="0.78740157499999996" bottom="0.78740157499999996" header="0.3" footer="0.3"/>
  <pageSetup paperSize="9" scale="45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Jana Westphal</cp:lastModifiedBy>
  <cp:lastPrinted>2022-11-06T12:48:47Z</cp:lastPrinted>
  <dcterms:created xsi:type="dcterms:W3CDTF">2022-10-30T14:53:11Z</dcterms:created>
  <dcterms:modified xsi:type="dcterms:W3CDTF">2023-11-05T19:17:30Z</dcterms:modified>
</cp:coreProperties>
</file>